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forte/Desktop/NU/Research/Updating_MA/Scripts/"/>
    </mc:Choice>
  </mc:AlternateContent>
  <xr:revisionPtr revIDLastSave="0" documentId="8_{1134758D-C85D-2644-9E45-58F797095153}" xr6:coauthVersionLast="47" xr6:coauthVersionMax="47" xr10:uidLastSave="{00000000-0000-0000-0000-000000000000}"/>
  <bookViews>
    <workbookView xWindow="18140" yWindow="700" windowWidth="16060" windowHeight="19760" xr2:uid="{CD8601B5-32ED-B447-BB8E-AF54BEB0C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4" i="1"/>
  <c r="K35" i="1"/>
  <c r="K36" i="1"/>
  <c r="K37" i="1"/>
  <c r="K38" i="1"/>
  <c r="K39" i="1"/>
  <c r="K32" i="1"/>
  <c r="K20" i="1"/>
  <c r="K21" i="1"/>
  <c r="K22" i="1"/>
  <c r="K23" i="1"/>
  <c r="K24" i="1"/>
  <c r="K25" i="1"/>
  <c r="K26" i="1"/>
  <c r="K19" i="1"/>
  <c r="K7" i="1"/>
  <c r="K8" i="1"/>
  <c r="K9" i="1"/>
  <c r="K10" i="1"/>
  <c r="K11" i="1"/>
  <c r="K12" i="1"/>
  <c r="K13" i="1"/>
  <c r="K6" i="1"/>
  <c r="E33" i="1"/>
  <c r="E34" i="1"/>
  <c r="E35" i="1"/>
  <c r="E36" i="1"/>
  <c r="E37" i="1"/>
  <c r="E38" i="1"/>
  <c r="E39" i="1"/>
  <c r="E32" i="1"/>
  <c r="E20" i="1"/>
  <c r="E21" i="1"/>
  <c r="E22" i="1"/>
  <c r="E23" i="1"/>
  <c r="E24" i="1"/>
  <c r="E25" i="1"/>
  <c r="E26" i="1"/>
  <c r="E19" i="1"/>
</calcChain>
</file>

<file path=xl/sharedStrings.xml><?xml version="1.0" encoding="utf-8"?>
<sst xmlns="http://schemas.openxmlformats.org/spreadsheetml/2006/main" count="84" uniqueCount="11">
  <si>
    <t>10 studies</t>
  </si>
  <si>
    <t>Any sig reversal</t>
  </si>
  <si>
    <t>method</t>
  </si>
  <si>
    <t>count</t>
  </si>
  <si>
    <t>percent</t>
  </si>
  <si>
    <t>REML</t>
  </si>
  <si>
    <t>ts</t>
  </si>
  <si>
    <t>Shrinkage</t>
  </si>
  <si>
    <t>sig to nonsig</t>
  </si>
  <si>
    <t>nonsig to sig</t>
  </si>
  <si>
    <t>5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</si>
</sst>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42BE-0D33-2E48-ABEA-85096EE3C12F}">
  <dimension ref="B3:K39"/>
  <sheetViews>
    <sheetView tabSelected="1" topLeftCell="E8" zoomScale="130" zoomScaleNormal="130" workbookViewId="0">
      <selection activeCell="K39" sqref="K39"/>
    </sheetView>
  </sheetViews>
  <sheetFormatPr baseColWidth="10" defaultRowHeight="16" x14ac:dyDescent="0.2"/>
  <cols>
    <col min="2" max="3" width="14" customWidth="1"/>
  </cols>
  <sheetData>
    <row r="3" spans="2:11" x14ac:dyDescent="0.2">
      <c r="B3" t="s">
        <v>0</v>
      </c>
      <c r="H3" t="s">
        <v>10</v>
      </c>
    </row>
    <row r="4" spans="2:11" x14ac:dyDescent="0.2">
      <c r="B4" t="s">
        <v>1</v>
      </c>
      <c r="H4" t="s">
        <v>1</v>
      </c>
    </row>
    <row r="5" spans="2:11" x14ac:dyDescent="0.2">
      <c r="B5" t="s">
        <v>2</v>
      </c>
      <c r="C5" t="s">
        <v>6</v>
      </c>
      <c r="D5" t="s">
        <v>3</v>
      </c>
      <c r="E5" t="s">
        <v>4</v>
      </c>
      <c r="H5" t="s">
        <v>2</v>
      </c>
      <c r="I5" t="s">
        <v>6</v>
      </c>
      <c r="J5" t="s">
        <v>3</v>
      </c>
      <c r="K5" t="s">
        <v>4</v>
      </c>
    </row>
    <row r="6" spans="2:11" x14ac:dyDescent="0.2">
      <c r="B6" t="s">
        <v>5</v>
      </c>
      <c r="C6">
        <v>0</v>
      </c>
      <c r="D6">
        <v>2267</v>
      </c>
      <c r="E6">
        <v>56.674999999999997</v>
      </c>
      <c r="H6" t="s">
        <v>5</v>
      </c>
      <c r="I6">
        <v>0</v>
      </c>
      <c r="J6">
        <v>1037</v>
      </c>
      <c r="K6">
        <f>(J6/4000)*100</f>
        <v>25.924999999999997</v>
      </c>
    </row>
    <row r="7" spans="2:11" x14ac:dyDescent="0.2">
      <c r="B7" t="s">
        <v>5</v>
      </c>
      <c r="C7">
        <v>8.0000000000000002E-3</v>
      </c>
      <c r="D7">
        <v>2164</v>
      </c>
      <c r="E7">
        <v>54.1</v>
      </c>
      <c r="H7" t="s">
        <v>5</v>
      </c>
      <c r="I7">
        <v>8.0000000000000002E-3</v>
      </c>
      <c r="J7">
        <v>1068</v>
      </c>
      <c r="K7">
        <f t="shared" ref="K7:K13" si="0">(J7/4000)*100</f>
        <v>26.700000000000003</v>
      </c>
    </row>
    <row r="8" spans="2:11" x14ac:dyDescent="0.2">
      <c r="B8" t="s">
        <v>5</v>
      </c>
      <c r="C8">
        <v>0.03</v>
      </c>
      <c r="D8">
        <v>1964</v>
      </c>
      <c r="E8">
        <v>49.1</v>
      </c>
      <c r="H8" t="s">
        <v>5</v>
      </c>
      <c r="I8">
        <v>0.03</v>
      </c>
      <c r="J8">
        <v>1122</v>
      </c>
      <c r="K8">
        <f t="shared" si="0"/>
        <v>28.050000000000004</v>
      </c>
    </row>
    <row r="9" spans="2:11" x14ac:dyDescent="0.2">
      <c r="B9" t="s">
        <v>5</v>
      </c>
      <c r="C9">
        <v>0.16</v>
      </c>
      <c r="D9">
        <v>1847</v>
      </c>
      <c r="E9">
        <v>46.174999999999997</v>
      </c>
      <c r="H9" t="s">
        <v>5</v>
      </c>
      <c r="I9">
        <v>0.16</v>
      </c>
      <c r="J9">
        <v>1307</v>
      </c>
      <c r="K9">
        <f t="shared" si="0"/>
        <v>32.674999999999997</v>
      </c>
    </row>
    <row r="10" spans="2:11" x14ac:dyDescent="0.2">
      <c r="B10" t="s">
        <v>7</v>
      </c>
      <c r="C10">
        <v>0</v>
      </c>
      <c r="D10">
        <v>2215</v>
      </c>
      <c r="E10">
        <v>55.375</v>
      </c>
      <c r="H10" t="s">
        <v>7</v>
      </c>
      <c r="I10">
        <v>0</v>
      </c>
      <c r="J10">
        <v>985</v>
      </c>
      <c r="K10">
        <f t="shared" si="0"/>
        <v>24.625</v>
      </c>
    </row>
    <row r="11" spans="2:11" x14ac:dyDescent="0.2">
      <c r="B11" t="s">
        <v>7</v>
      </c>
      <c r="C11">
        <v>8.0000000000000002E-3</v>
      </c>
      <c r="D11">
        <v>2144</v>
      </c>
      <c r="E11">
        <v>53.6</v>
      </c>
      <c r="H11" t="s">
        <v>7</v>
      </c>
      <c r="I11">
        <v>8.0000000000000002E-3</v>
      </c>
      <c r="J11">
        <v>1041</v>
      </c>
      <c r="K11">
        <f t="shared" si="0"/>
        <v>26.024999999999999</v>
      </c>
    </row>
    <row r="12" spans="2:11" x14ac:dyDescent="0.2">
      <c r="B12" t="s">
        <v>7</v>
      </c>
      <c r="C12">
        <v>0.03</v>
      </c>
      <c r="D12">
        <v>2088</v>
      </c>
      <c r="E12">
        <v>52.2</v>
      </c>
      <c r="H12" t="s">
        <v>7</v>
      </c>
      <c r="I12">
        <v>0.03</v>
      </c>
      <c r="J12">
        <v>1194</v>
      </c>
      <c r="K12">
        <f t="shared" si="0"/>
        <v>29.849999999999998</v>
      </c>
    </row>
    <row r="13" spans="2:11" x14ac:dyDescent="0.2">
      <c r="B13" t="s">
        <v>7</v>
      </c>
      <c r="C13">
        <v>0.16</v>
      </c>
      <c r="D13">
        <v>2221</v>
      </c>
      <c r="E13">
        <v>55.524999999999999</v>
      </c>
      <c r="H13" t="s">
        <v>7</v>
      </c>
      <c r="I13">
        <v>0.16</v>
      </c>
      <c r="J13">
        <v>1547</v>
      </c>
      <c r="K13">
        <f t="shared" si="0"/>
        <v>38.674999999999997</v>
      </c>
    </row>
    <row r="16" spans="2:11" x14ac:dyDescent="0.2">
      <c r="B16" t="s">
        <v>0</v>
      </c>
      <c r="H16" t="s">
        <v>10</v>
      </c>
    </row>
    <row r="17" spans="2:11" x14ac:dyDescent="0.2">
      <c r="B17" t="s">
        <v>9</v>
      </c>
      <c r="H17" t="s">
        <v>9</v>
      </c>
    </row>
    <row r="18" spans="2:11" x14ac:dyDescent="0.2">
      <c r="B18" t="s">
        <v>2</v>
      </c>
      <c r="C18" t="s">
        <v>6</v>
      </c>
      <c r="D18" t="s">
        <v>3</v>
      </c>
      <c r="E18" t="s">
        <v>4</v>
      </c>
      <c r="H18" t="s">
        <v>2</v>
      </c>
      <c r="I18" t="s">
        <v>6</v>
      </c>
      <c r="J18" t="s">
        <v>3</v>
      </c>
      <c r="K18" t="s">
        <v>4</v>
      </c>
    </row>
    <row r="19" spans="2:11" x14ac:dyDescent="0.2">
      <c r="B19" t="s">
        <v>5</v>
      </c>
      <c r="C19">
        <v>0</v>
      </c>
      <c r="D19">
        <v>2192</v>
      </c>
      <c r="E19">
        <f>(D19/4000)*100</f>
        <v>54.800000000000004</v>
      </c>
      <c r="H19" t="s">
        <v>5</v>
      </c>
      <c r="I19">
        <v>0</v>
      </c>
      <c r="J19">
        <v>876</v>
      </c>
      <c r="K19">
        <f>(J19/4000)*100</f>
        <v>21.9</v>
      </c>
    </row>
    <row r="20" spans="2:11" x14ac:dyDescent="0.2">
      <c r="B20" t="s">
        <v>5</v>
      </c>
      <c r="C20">
        <v>8.0000000000000002E-3</v>
      </c>
      <c r="D20">
        <v>2005</v>
      </c>
      <c r="E20">
        <f t="shared" ref="E20:E26" si="1">(D20/4000)*100</f>
        <v>50.125</v>
      </c>
      <c r="H20" t="s">
        <v>5</v>
      </c>
      <c r="I20">
        <v>8.0000000000000002E-3</v>
      </c>
      <c r="J20">
        <v>865</v>
      </c>
      <c r="K20">
        <f t="shared" ref="K20:K26" si="2">(J20/4000)*100</f>
        <v>21.625</v>
      </c>
    </row>
    <row r="21" spans="2:11" x14ac:dyDescent="0.2">
      <c r="B21" t="s">
        <v>5</v>
      </c>
      <c r="C21">
        <v>0.03</v>
      </c>
      <c r="D21">
        <v>1675</v>
      </c>
      <c r="E21">
        <f t="shared" si="1"/>
        <v>41.875</v>
      </c>
      <c r="H21" t="s">
        <v>5</v>
      </c>
      <c r="I21">
        <v>0.03</v>
      </c>
      <c r="J21">
        <v>791</v>
      </c>
      <c r="K21">
        <f t="shared" si="2"/>
        <v>19.775000000000002</v>
      </c>
    </row>
    <row r="22" spans="2:11" x14ac:dyDescent="0.2">
      <c r="B22" t="s">
        <v>5</v>
      </c>
      <c r="C22">
        <v>0.16</v>
      </c>
      <c r="D22">
        <v>1196</v>
      </c>
      <c r="E22">
        <f t="shared" si="1"/>
        <v>29.9</v>
      </c>
      <c r="H22" t="s">
        <v>5</v>
      </c>
      <c r="I22">
        <v>0.16</v>
      </c>
      <c r="J22">
        <v>638</v>
      </c>
      <c r="K22">
        <f t="shared" si="2"/>
        <v>15.950000000000001</v>
      </c>
    </row>
    <row r="23" spans="2:11" x14ac:dyDescent="0.2">
      <c r="B23" t="s">
        <v>7</v>
      </c>
      <c r="C23">
        <v>0</v>
      </c>
      <c r="D23">
        <v>2144</v>
      </c>
      <c r="E23">
        <f t="shared" si="1"/>
        <v>53.6</v>
      </c>
      <c r="H23" t="s">
        <v>7</v>
      </c>
      <c r="I23">
        <v>0</v>
      </c>
      <c r="J23">
        <v>835</v>
      </c>
      <c r="K23">
        <f t="shared" si="2"/>
        <v>20.875</v>
      </c>
    </row>
    <row r="24" spans="2:11" x14ac:dyDescent="0.2">
      <c r="B24" t="s">
        <v>7</v>
      </c>
      <c r="C24">
        <v>8.0000000000000002E-3</v>
      </c>
      <c r="D24">
        <v>2006</v>
      </c>
      <c r="E24">
        <f t="shared" si="1"/>
        <v>50.149999999999991</v>
      </c>
      <c r="H24" t="s">
        <v>7</v>
      </c>
      <c r="I24">
        <v>8.0000000000000002E-3</v>
      </c>
      <c r="J24">
        <v>838</v>
      </c>
      <c r="K24">
        <f t="shared" si="2"/>
        <v>20.95</v>
      </c>
    </row>
    <row r="25" spans="2:11" x14ac:dyDescent="0.2">
      <c r="B25" t="s">
        <v>7</v>
      </c>
      <c r="C25">
        <v>0.03</v>
      </c>
      <c r="D25">
        <v>1797</v>
      </c>
      <c r="E25">
        <f t="shared" si="1"/>
        <v>44.924999999999997</v>
      </c>
      <c r="H25" t="s">
        <v>7</v>
      </c>
      <c r="I25">
        <v>0.03</v>
      </c>
      <c r="J25">
        <v>842</v>
      </c>
      <c r="K25">
        <f t="shared" si="2"/>
        <v>21.05</v>
      </c>
    </row>
    <row r="26" spans="2:11" x14ac:dyDescent="0.2">
      <c r="B26" t="s">
        <v>7</v>
      </c>
      <c r="C26">
        <v>0.16</v>
      </c>
      <c r="D26">
        <v>1470</v>
      </c>
      <c r="E26">
        <f t="shared" si="1"/>
        <v>36.75</v>
      </c>
      <c r="H26" t="s">
        <v>7</v>
      </c>
      <c r="I26">
        <v>0.16</v>
      </c>
      <c r="J26">
        <v>772</v>
      </c>
      <c r="K26">
        <f t="shared" si="2"/>
        <v>19.3</v>
      </c>
    </row>
    <row r="29" spans="2:11" x14ac:dyDescent="0.2">
      <c r="B29" t="s">
        <v>0</v>
      </c>
      <c r="H29" t="s">
        <v>10</v>
      </c>
    </row>
    <row r="30" spans="2:11" x14ac:dyDescent="0.2">
      <c r="B30" t="s">
        <v>8</v>
      </c>
      <c r="H30" t="s">
        <v>8</v>
      </c>
    </row>
    <row r="31" spans="2:11" x14ac:dyDescent="0.2">
      <c r="B31" t="s">
        <v>2</v>
      </c>
      <c r="C31" t="s">
        <v>6</v>
      </c>
      <c r="D31" t="s">
        <v>3</v>
      </c>
      <c r="E31" t="s">
        <v>4</v>
      </c>
      <c r="H31" t="s">
        <v>2</v>
      </c>
      <c r="I31" t="s">
        <v>6</v>
      </c>
      <c r="J31" t="s">
        <v>3</v>
      </c>
      <c r="K31" t="s">
        <v>4</v>
      </c>
    </row>
    <row r="32" spans="2:11" x14ac:dyDescent="0.2">
      <c r="B32" t="s">
        <v>5</v>
      </c>
      <c r="C32">
        <v>0</v>
      </c>
      <c r="D32">
        <v>1006</v>
      </c>
      <c r="E32">
        <f>(D32/4000)*100</f>
        <v>25.15</v>
      </c>
      <c r="H32" t="s">
        <v>5</v>
      </c>
      <c r="I32">
        <v>0</v>
      </c>
      <c r="J32">
        <v>409</v>
      </c>
      <c r="K32">
        <f>(J32/4000)*100</f>
        <v>10.225</v>
      </c>
    </row>
    <row r="33" spans="2:11" x14ac:dyDescent="0.2">
      <c r="B33" t="s">
        <v>5</v>
      </c>
      <c r="C33">
        <v>8.0000000000000002E-3</v>
      </c>
      <c r="D33">
        <v>1116</v>
      </c>
      <c r="E33">
        <f t="shared" ref="E33:E39" si="3">(D33/4000)*100</f>
        <v>27.900000000000002</v>
      </c>
      <c r="H33" t="s">
        <v>5</v>
      </c>
      <c r="I33">
        <v>8.0000000000000002E-3</v>
      </c>
      <c r="J33">
        <v>474</v>
      </c>
      <c r="K33">
        <f t="shared" ref="K33:K39" si="4">(J33/4000)*100</f>
        <v>11.85</v>
      </c>
    </row>
    <row r="34" spans="2:11" x14ac:dyDescent="0.2">
      <c r="B34" t="s">
        <v>5</v>
      </c>
      <c r="C34">
        <v>0.03</v>
      </c>
      <c r="D34">
        <v>1262</v>
      </c>
      <c r="E34">
        <f t="shared" si="3"/>
        <v>31.55</v>
      </c>
      <c r="H34" t="s">
        <v>5</v>
      </c>
      <c r="I34">
        <v>0.03</v>
      </c>
      <c r="J34">
        <v>606</v>
      </c>
      <c r="K34">
        <f t="shared" si="4"/>
        <v>15.15</v>
      </c>
    </row>
    <row r="35" spans="2:11" x14ac:dyDescent="0.2">
      <c r="B35" t="s">
        <v>5</v>
      </c>
      <c r="C35">
        <v>0.16</v>
      </c>
      <c r="D35">
        <v>1560</v>
      </c>
      <c r="E35">
        <f t="shared" si="3"/>
        <v>39</v>
      </c>
      <c r="H35" t="s">
        <v>5</v>
      </c>
      <c r="I35">
        <v>0.16</v>
      </c>
      <c r="J35">
        <v>980</v>
      </c>
      <c r="K35">
        <f t="shared" si="4"/>
        <v>24.5</v>
      </c>
    </row>
    <row r="36" spans="2:11" x14ac:dyDescent="0.2">
      <c r="B36" t="s">
        <v>7</v>
      </c>
      <c r="C36">
        <v>0</v>
      </c>
      <c r="D36">
        <v>962</v>
      </c>
      <c r="E36">
        <f t="shared" si="3"/>
        <v>24.05</v>
      </c>
      <c r="H36" t="s">
        <v>7</v>
      </c>
      <c r="I36">
        <v>0</v>
      </c>
      <c r="J36">
        <v>400</v>
      </c>
      <c r="K36">
        <f t="shared" si="4"/>
        <v>10</v>
      </c>
    </row>
    <row r="37" spans="2:11" x14ac:dyDescent="0.2">
      <c r="B37" t="s">
        <v>7</v>
      </c>
      <c r="C37">
        <v>8.0000000000000002E-3</v>
      </c>
      <c r="D37">
        <v>1079</v>
      </c>
      <c r="E37">
        <f t="shared" si="3"/>
        <v>26.974999999999998</v>
      </c>
      <c r="H37" t="s">
        <v>7</v>
      </c>
      <c r="I37">
        <v>8.0000000000000002E-3</v>
      </c>
      <c r="J37">
        <v>483</v>
      </c>
      <c r="K37">
        <f t="shared" si="4"/>
        <v>12.074999999999999</v>
      </c>
    </row>
    <row r="38" spans="2:11" x14ac:dyDescent="0.2">
      <c r="B38" t="s">
        <v>7</v>
      </c>
      <c r="C38">
        <v>0.03</v>
      </c>
      <c r="D38">
        <v>1339</v>
      </c>
      <c r="E38">
        <f t="shared" si="3"/>
        <v>33.475000000000001</v>
      </c>
      <c r="H38" t="s">
        <v>7</v>
      </c>
      <c r="I38">
        <v>0.03</v>
      </c>
      <c r="J38">
        <v>643</v>
      </c>
      <c r="K38">
        <f t="shared" si="4"/>
        <v>16.074999999999999</v>
      </c>
    </row>
    <row r="39" spans="2:11" x14ac:dyDescent="0.2">
      <c r="B39" t="s">
        <v>7</v>
      </c>
      <c r="C39">
        <v>0.16</v>
      </c>
      <c r="D39">
        <v>1883</v>
      </c>
      <c r="E39">
        <f t="shared" si="3"/>
        <v>47.075000000000003</v>
      </c>
      <c r="H39" t="s">
        <v>7</v>
      </c>
      <c r="I39">
        <v>0.16</v>
      </c>
      <c r="J39">
        <v>1182</v>
      </c>
      <c r="K39">
        <f t="shared" si="4"/>
        <v>29.549999999999997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Forte</dc:creator>
  <cp:lastModifiedBy>Matthew Forte</cp:lastModifiedBy>
  <dcterms:created xsi:type="dcterms:W3CDTF">2026-06-25T00:02:55Z</dcterms:created>
  <dcterms:modified xsi:type="dcterms:W3CDTF">2026-06-25T00:18:09Z</dcterms:modified>
</cp:coreProperties>
</file>